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hurtadoo\Proyectos\Data-Science-AI-Portfolio-Experiments-Predictions-and-Analysis\4.Decision Tree - Calculating Information Gain\"/>
    </mc:Choice>
  </mc:AlternateContent>
  <xr:revisionPtr revIDLastSave="0" documentId="13_ncr:1_{B00DA954-8A32-4F78-A54D-0085274051B7}" xr6:coauthVersionLast="47" xr6:coauthVersionMax="47" xr10:uidLastSave="{00000000-0000-0000-0000-000000000000}"/>
  <bookViews>
    <workbookView xWindow="-24120" yWindow="660" windowWidth="24240" windowHeight="13020" activeTab="1" xr2:uid="{00000000-000D-0000-FFFF-FFFF00000000}"/>
  </bookViews>
  <sheets>
    <sheet name="A" sheetId="1" r:id="rId1"/>
    <sheet name="B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D14" i="1"/>
  <c r="C14" i="1"/>
  <c r="C14" i="3"/>
  <c r="H13" i="3"/>
  <c r="H10" i="3"/>
  <c r="D10" i="3"/>
  <c r="C10" i="3"/>
  <c r="D7" i="3"/>
  <c r="C7" i="3"/>
  <c r="H6" i="3"/>
  <c r="C8" i="1"/>
  <c r="D7" i="1"/>
  <c r="C7" i="1"/>
  <c r="H13" i="1"/>
  <c r="H6" i="1"/>
  <c r="C15" i="1" l="1"/>
  <c r="C15" i="3"/>
  <c r="C11" i="3"/>
  <c r="C8" i="3"/>
  <c r="H10" i="1"/>
  <c r="D10" i="1"/>
  <c r="C10" i="1"/>
  <c r="C11" i="1" l="1"/>
</calcChain>
</file>

<file path=xl/sharedStrings.xml><?xml version="1.0" encoding="utf-8"?>
<sst xmlns="http://schemas.openxmlformats.org/spreadsheetml/2006/main" count="38" uniqueCount="12">
  <si>
    <t>IG</t>
  </si>
  <si>
    <t>IH</t>
  </si>
  <si>
    <t>IE</t>
  </si>
  <si>
    <t>A</t>
  </si>
  <si>
    <t>IGE</t>
  </si>
  <si>
    <t>IGG</t>
  </si>
  <si>
    <t>IGH</t>
  </si>
  <si>
    <t>LEFT</t>
  </si>
  <si>
    <t>RIGHT</t>
  </si>
  <si>
    <t>Classification error</t>
  </si>
  <si>
    <t>Gini</t>
  </si>
  <si>
    <t>Entropía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</si>
</sst>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707844</xdr:colOff>
      <xdr:row>17</xdr:row>
      <xdr:rowOff>3061</xdr:rowOff>
    </xdr:from>
    <xdr:ext cx="8036624" cy="52681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E9DEF81-3A16-891F-4808-A35CFB6628A5}"/>
                </a:ext>
              </a:extLst>
            </xdr:cNvPr>
            <xdr:cNvSpPr txBox="1"/>
          </xdr:nvSpPr>
          <xdr:spPr>
            <a:xfrm>
              <a:off x="707844" y="3137093"/>
              <a:ext cx="8036624" cy="526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b="0"/>
                <a:t>I</a:t>
              </a:r>
              <a14:m>
                <m:oMath xmlns:m="http://schemas.openxmlformats.org/officeDocument/2006/math">
                  <m:r>
                    <a:rPr lang="en-US" sz="2000" b="0" i="1">
                      <a:latin typeface="Cambria Math" panose="02040503050406030204" pitchFamily="18" charset="0"/>
                    </a:rPr>
                    <m:t>𝑛𝑓𝑜𝑟𝑚</m:t>
                  </m:r>
                  <m:r>
                    <a:rPr lang="es-EC" sz="2000" b="0" i="1">
                      <a:latin typeface="Cambria Math" panose="02040503050406030204" pitchFamily="18" charset="0"/>
                    </a:rPr>
                    <m:t>𝑎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𝑡𝑖𝑜𝑛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𝐺𝑎𝑖𝑛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→ 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𝐼𝐺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𝑓</m:t>
                      </m:r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sub>
                      </m:sSub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𝑙𝑒𝑓𝑡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</m:den>
                  </m:f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𝑙𝑒𝑓𝑡</m:t>
                          </m:r>
                        </m:sub>
                      </m:sSub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𝑟𝑖𝑔h𝑡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</m:den>
                  </m:f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𝐷</m:t>
                      </m:r>
                    </m:e>
                    <m: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𝑟𝑖𝑔h𝑡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en-US" sz="20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E9DEF81-3A16-891F-4808-A35CFB6628A5}"/>
                </a:ext>
              </a:extLst>
            </xdr:cNvPr>
            <xdr:cNvSpPr txBox="1"/>
          </xdr:nvSpPr>
          <xdr:spPr>
            <a:xfrm>
              <a:off x="707844" y="3137093"/>
              <a:ext cx="8036624" cy="526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b="0"/>
                <a:t>I</a:t>
              </a:r>
              <a:r>
                <a:rPr lang="en-US" sz="2000" b="0" i="0">
                  <a:latin typeface="Cambria Math" panose="02040503050406030204" pitchFamily="18" charset="0"/>
                </a:rPr>
                <a:t>𝑛𝑓𝑜𝑟𝑚</a:t>
              </a:r>
              <a:r>
                <a:rPr lang="es-EC" sz="2000" b="0" i="0">
                  <a:latin typeface="Cambria Math" panose="02040503050406030204" pitchFamily="18" charset="0"/>
                </a:rPr>
                <a:t>𝑎</a:t>
              </a:r>
              <a:r>
                <a:rPr lang="en-US" sz="2000" b="0" i="0">
                  <a:latin typeface="Cambria Math" panose="02040503050406030204" pitchFamily="18" charset="0"/>
                </a:rPr>
                <a:t>𝑡𝑖𝑜𝑛 𝐺𝑎𝑖𝑛→ 𝐼𝐺(𝐷_𝑝,𝑓)=𝐼(𝐷_𝑃 )−𝑁_𝑙𝑒𝑓𝑡/𝑁_𝑝  𝐼(𝐷_𝑙𝑒𝑓𝑡 )−𝑁_𝑟𝑖𝑔ℎ𝑡/𝑁_𝑝  𝐼(𝐷_𝑟𝑖𝑔ℎ𝑡)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0</xdr:col>
      <xdr:colOff>666480</xdr:colOff>
      <xdr:row>20</xdr:row>
      <xdr:rowOff>95000</xdr:rowOff>
    </xdr:from>
    <xdr:ext cx="4761175" cy="8402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3C5268D-BF67-FBF4-8807-A2B758562DDC}"/>
                </a:ext>
              </a:extLst>
            </xdr:cNvPr>
            <xdr:cNvSpPr txBox="1"/>
          </xdr:nvSpPr>
          <xdr:spPr>
            <a:xfrm>
              <a:off x="666480" y="3738443"/>
              <a:ext cx="476117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𝐸𝑛𝑡𝑟𝑜𝑝𝑦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𝐻</m:t>
                        </m:r>
                      </m:sub>
                    </m:sSub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=−</m:t>
                    </m:r>
                    <m:nary>
                      <m:naryPr>
                        <m:chr m:val="∑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20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  <m:func>
                          <m:func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sz="2000" b="0" i="0">
                                    <a:latin typeface="Cambria Math" panose="02040503050406030204" pitchFamily="18" charset="0"/>
                                  </a:rPr>
                                  <m:t>log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fNam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  <m:d>
                              <m:d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e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e>
                        </m:func>
                      </m:e>
                    </m:nary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3C5268D-BF67-FBF4-8807-A2B758562DDC}"/>
                </a:ext>
              </a:extLst>
            </xdr:cNvPr>
            <xdr:cNvSpPr txBox="1"/>
          </xdr:nvSpPr>
          <xdr:spPr>
            <a:xfrm>
              <a:off x="666480" y="3738443"/>
              <a:ext cx="476117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b="0" i="0">
                  <a:latin typeface="Cambria Math" panose="02040503050406030204" pitchFamily="18" charset="0"/>
                </a:rPr>
                <a:t>𝐸𝑛𝑡𝑟𝑜𝑝𝑦 →𝐼_𝐻 (𝑡)=−∑24_(𝑖=1)^𝑐▒〖𝑝(𝑖│𝑡)  log_2⁡〖𝑝(𝑖│𝑡)〗 〗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0</xdr:col>
      <xdr:colOff>622876</xdr:colOff>
      <xdr:row>25</xdr:row>
      <xdr:rowOff>1300</xdr:rowOff>
    </xdr:from>
    <xdr:ext cx="3279390" cy="7562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178B4B2-99A8-D292-EBEA-D3CA02D3C73F}"/>
                </a:ext>
              </a:extLst>
            </xdr:cNvPr>
            <xdr:cNvSpPr txBox="1"/>
          </xdr:nvSpPr>
          <xdr:spPr>
            <a:xfrm>
              <a:off x="622876" y="4555603"/>
              <a:ext cx="3279390" cy="7562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𝐺𝑖𝑛𝑖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𝐺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=1−</m:t>
                    </m:r>
                    <m:nary>
                      <m:naryPr>
                        <m:chr m:val="∑"/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8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e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178B4B2-99A8-D292-EBEA-D3CA02D3C73F}"/>
                </a:ext>
              </a:extLst>
            </xdr:cNvPr>
            <xdr:cNvSpPr txBox="1"/>
          </xdr:nvSpPr>
          <xdr:spPr>
            <a:xfrm>
              <a:off x="622876" y="4555603"/>
              <a:ext cx="3279390" cy="7562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800" b="0" i="0">
                  <a:latin typeface="Cambria Math" panose="02040503050406030204" pitchFamily="18" charset="0"/>
                </a:rPr>
                <a:t>𝐺𝑖𝑛𝑖 →𝐼_𝐺=1−∑24_(𝑖=1)^𝑐▒〖𝑝(𝑖│𝑡)^2 〗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0</xdr:col>
      <xdr:colOff>723064</xdr:colOff>
      <xdr:row>30</xdr:row>
      <xdr:rowOff>134843</xdr:rowOff>
    </xdr:from>
    <xdr:ext cx="6093015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8FA44847-4D7C-034F-AF04-A3E3D3FA3BED}"/>
                </a:ext>
              </a:extLst>
            </xdr:cNvPr>
            <xdr:cNvSpPr txBox="1"/>
          </xdr:nvSpPr>
          <xdr:spPr>
            <a:xfrm>
              <a:off x="723064" y="5600007"/>
              <a:ext cx="6093015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𝑐𝑙𝑎𝑠𝑠𝑖𝑓𝑖𝑐𝑎𝑡𝑖𝑜𝑛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𝑒𝑟𝑟𝑜𝑟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𝐸</m:t>
                        </m:r>
                      </m:sub>
                    </m:sSub>
                    <m:r>
                      <a:rPr lang="en-US" sz="2400" b="0" i="1">
                        <a:latin typeface="Cambria Math" panose="02040503050406030204" pitchFamily="18" charset="0"/>
                      </a:rPr>
                      <m:t>=1−</m:t>
                    </m:r>
                    <m:r>
                      <m:rPr>
                        <m:sty m:val="p"/>
                      </m:rPr>
                      <a:rPr lang="en-US" sz="24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⁡{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𝑝</m:t>
                    </m:r>
                    <m:d>
                      <m:d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400" b="0" i="1">
                        <a:latin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8FA44847-4D7C-034F-AF04-A3E3D3FA3BED}"/>
                </a:ext>
              </a:extLst>
            </xdr:cNvPr>
            <xdr:cNvSpPr txBox="1"/>
          </xdr:nvSpPr>
          <xdr:spPr>
            <a:xfrm>
              <a:off x="723064" y="5600007"/>
              <a:ext cx="6093015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400" b="0" i="0">
                  <a:latin typeface="Cambria Math" panose="02040503050406030204" pitchFamily="18" charset="0"/>
                </a:rPr>
                <a:t>𝑐𝑙𝑎𝑠𝑠𝑖𝑓𝑖𝑐𝑎𝑡𝑖𝑜𝑛 𝑒𝑟𝑟𝑜𝑟 →𝐼_𝐸=1−max⁡{𝑝(𝑖│𝑡)}</a:t>
              </a:r>
              <a:endParaRPr lang="en-US" sz="24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707844</xdr:colOff>
      <xdr:row>17</xdr:row>
      <xdr:rowOff>3061</xdr:rowOff>
    </xdr:from>
    <xdr:ext cx="8036624" cy="52681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D5C6A00-AEF4-492F-9BCC-B27F69651ADC}"/>
                </a:ext>
              </a:extLst>
            </xdr:cNvPr>
            <xdr:cNvSpPr txBox="1"/>
          </xdr:nvSpPr>
          <xdr:spPr>
            <a:xfrm>
              <a:off x="707844" y="3137093"/>
              <a:ext cx="8036624" cy="526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b="0"/>
                <a:t>I</a:t>
              </a:r>
              <a14:m>
                <m:oMath xmlns:m="http://schemas.openxmlformats.org/officeDocument/2006/math">
                  <m:r>
                    <a:rPr lang="en-US" sz="2000" b="0" i="1">
                      <a:latin typeface="Cambria Math" panose="02040503050406030204" pitchFamily="18" charset="0"/>
                    </a:rPr>
                    <m:t>𝑛𝑓𝑜𝑟𝑚</m:t>
                  </m:r>
                  <m:r>
                    <a:rPr lang="es-EC" sz="2000" b="0" i="1">
                      <a:latin typeface="Cambria Math" panose="02040503050406030204" pitchFamily="18" charset="0"/>
                    </a:rPr>
                    <m:t>𝑎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𝑡𝑖𝑜𝑛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𝐺𝑎𝑖𝑛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→ 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𝐼𝐺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,</m:t>
                      </m:r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𝑓</m:t>
                      </m:r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𝑃</m:t>
                          </m:r>
                        </m:sub>
                      </m:sSub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𝑙𝑒𝑓𝑡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</m:den>
                  </m:f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d>
                    <m:d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𝐷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𝑙𝑒𝑓𝑡</m:t>
                          </m:r>
                        </m:sub>
                      </m:sSub>
                    </m:e>
                  </m:d>
                  <m:r>
                    <a:rPr lang="en-US" sz="20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𝑟𝑖𝑔h𝑡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US" sz="2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US" sz="2000" b="0" i="1">
                              <a:latin typeface="Cambria Math" panose="02040503050406030204" pitchFamily="18" charset="0"/>
                            </a:rPr>
                            <m:t>𝑝</m:t>
                          </m:r>
                        </m:sub>
                      </m:sSub>
                    </m:den>
                  </m:f>
                  <m:r>
                    <a:rPr lang="en-US" sz="2000" b="0" i="1">
                      <a:latin typeface="Cambria Math" panose="02040503050406030204" pitchFamily="18" charset="0"/>
                    </a:rPr>
                    <m:t>𝐼</m:t>
                  </m:r>
                  <m:r>
                    <a:rPr lang="en-US" sz="2000" b="0" i="1">
                      <a:latin typeface="Cambria Math" panose="02040503050406030204" pitchFamily="18" charset="0"/>
                    </a:rPr>
                    <m:t>(</m:t>
                  </m:r>
                  <m:sSub>
                    <m:sSubPr>
                      <m:ctrlPr>
                        <a:rPr lang="en-US" sz="20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𝐷</m:t>
                      </m:r>
                    </m:e>
                    <m:sub>
                      <m:r>
                        <a:rPr lang="en-US" sz="2000" b="0" i="1">
                          <a:latin typeface="Cambria Math" panose="02040503050406030204" pitchFamily="18" charset="0"/>
                        </a:rPr>
                        <m:t>𝑟𝑖𝑔h𝑡</m:t>
                      </m:r>
                    </m:sub>
                  </m:sSub>
                  <m:r>
                    <a:rPr lang="en-US" sz="20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en-US" sz="20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D5C6A00-AEF4-492F-9BCC-B27F69651ADC}"/>
                </a:ext>
              </a:extLst>
            </xdr:cNvPr>
            <xdr:cNvSpPr txBox="1"/>
          </xdr:nvSpPr>
          <xdr:spPr>
            <a:xfrm>
              <a:off x="707844" y="3137093"/>
              <a:ext cx="8036624" cy="5268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000" b="0"/>
                <a:t>I</a:t>
              </a:r>
              <a:r>
                <a:rPr lang="en-US" sz="2000" b="0" i="0">
                  <a:latin typeface="Cambria Math" panose="02040503050406030204" pitchFamily="18" charset="0"/>
                </a:rPr>
                <a:t>𝑛𝑓𝑜𝑟𝑚</a:t>
              </a:r>
              <a:r>
                <a:rPr lang="es-EC" sz="2000" b="0" i="0">
                  <a:latin typeface="Cambria Math" panose="02040503050406030204" pitchFamily="18" charset="0"/>
                </a:rPr>
                <a:t>𝑎</a:t>
              </a:r>
              <a:r>
                <a:rPr lang="en-US" sz="2000" b="0" i="0">
                  <a:latin typeface="Cambria Math" panose="02040503050406030204" pitchFamily="18" charset="0"/>
                </a:rPr>
                <a:t>𝑡𝑖𝑜𝑛 𝐺𝑎𝑖𝑛→ 𝐼𝐺(𝐷_𝑝,𝑓)=𝐼(𝐷_𝑃 )−𝑁_𝑙𝑒𝑓𝑡/𝑁_𝑝  𝐼(𝐷_𝑙𝑒𝑓𝑡 )−𝑁_𝑟𝑖𝑔ℎ𝑡/𝑁_𝑝  𝐼(𝐷_𝑟𝑖𝑔ℎ𝑡)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0</xdr:col>
      <xdr:colOff>666480</xdr:colOff>
      <xdr:row>20</xdr:row>
      <xdr:rowOff>95000</xdr:rowOff>
    </xdr:from>
    <xdr:ext cx="4761175" cy="8402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5E39D2F-9421-41DE-B7D6-89E99981D7DA}"/>
                </a:ext>
              </a:extLst>
            </xdr:cNvPr>
            <xdr:cNvSpPr txBox="1"/>
          </xdr:nvSpPr>
          <xdr:spPr>
            <a:xfrm>
              <a:off x="666480" y="3752600"/>
              <a:ext cx="476117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𝐸𝑛𝑡𝑟𝑜𝑝𝑦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𝐻</m:t>
                        </m:r>
                      </m:sub>
                    </m:sSub>
                    <m:d>
                      <m:d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000" b="0" i="1">
                        <a:latin typeface="Cambria Math" panose="02040503050406030204" pitchFamily="18" charset="0"/>
                      </a:rPr>
                      <m:t>=−</m:t>
                    </m:r>
                    <m:nary>
                      <m:naryPr>
                        <m:chr m:val="∑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20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  <m:func>
                          <m:func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sSub>
                              <m:sSub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sz="2000" b="0" i="0">
                                    <a:latin typeface="Cambria Math" panose="02040503050406030204" pitchFamily="18" charset="0"/>
                                  </a:rPr>
                                  <m:t>log</m:t>
                                </m:r>
                              </m:e>
                              <m:sub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fName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  <m:d>
                              <m:dPr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e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e>
                        </m:func>
                      </m:e>
                    </m:nary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35E39D2F-9421-41DE-B7D6-89E99981D7DA}"/>
                </a:ext>
              </a:extLst>
            </xdr:cNvPr>
            <xdr:cNvSpPr txBox="1"/>
          </xdr:nvSpPr>
          <xdr:spPr>
            <a:xfrm>
              <a:off x="666480" y="3752600"/>
              <a:ext cx="4761175" cy="8402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𝐸𝑛𝑡𝑟𝑜𝑝𝑦 →𝐼_𝐻 (𝑡)=−∑_(𝑖=1)^𝑐▒〖𝑝(𝑖│𝑡)  log_2⁡〖𝑝(𝑖│𝑡)〗 〗</a:t>
              </a:r>
              <a:endParaRPr lang="en-US" sz="2000"/>
            </a:p>
          </xdr:txBody>
        </xdr:sp>
      </mc:Fallback>
    </mc:AlternateContent>
    <xdr:clientData/>
  </xdr:oneCellAnchor>
  <xdr:oneCellAnchor>
    <xdr:from>
      <xdr:col>0</xdr:col>
      <xdr:colOff>622876</xdr:colOff>
      <xdr:row>25</xdr:row>
      <xdr:rowOff>1300</xdr:rowOff>
    </xdr:from>
    <xdr:ext cx="3279390" cy="7562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ED5CA56-5989-4F46-82F9-BD8EAC855B82}"/>
                </a:ext>
              </a:extLst>
            </xdr:cNvPr>
            <xdr:cNvSpPr txBox="1"/>
          </xdr:nvSpPr>
          <xdr:spPr>
            <a:xfrm>
              <a:off x="622876" y="4573300"/>
              <a:ext cx="3279390" cy="7562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1">
                        <a:latin typeface="Cambria Math" panose="02040503050406030204" pitchFamily="18" charset="0"/>
                      </a:rPr>
                      <m:t>𝐺𝑖𝑛𝑖</m:t>
                    </m:r>
                    <m:r>
                      <a:rPr lang="en-US" sz="18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𝐺</m:t>
                        </m:r>
                      </m:sub>
                    </m:sSub>
                    <m:r>
                      <a:rPr lang="en-US" sz="1800" b="0" i="1">
                        <a:latin typeface="Cambria Math" panose="02040503050406030204" pitchFamily="18" charset="0"/>
                      </a:rPr>
                      <m:t>=1−</m:t>
                    </m:r>
                    <m:nary>
                      <m:naryPr>
                        <m:chr m:val="∑"/>
                        <m:ctrlPr>
                          <a:rPr lang="en-US" sz="18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8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  <m:e>
                        <m:r>
                          <a:rPr lang="en-US" sz="1800" b="0" i="1">
                            <a:latin typeface="Cambria Math" panose="02040503050406030204" pitchFamily="18" charset="0"/>
                          </a:rPr>
                          <m:t>𝑝</m:t>
                        </m:r>
                        <m:sSup>
                          <m:sSupPr>
                            <m:ctrlPr>
                              <a:rPr lang="en-US" sz="18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e>
                              <m:e>
                                <m:r>
                                  <a:rPr lang="en-US" sz="18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</m:e>
                          <m:sup>
                            <m:r>
                              <a:rPr lang="en-US" sz="1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4ED5CA56-5989-4F46-82F9-BD8EAC855B82}"/>
                </a:ext>
              </a:extLst>
            </xdr:cNvPr>
            <xdr:cNvSpPr txBox="1"/>
          </xdr:nvSpPr>
          <xdr:spPr>
            <a:xfrm>
              <a:off x="622876" y="4573300"/>
              <a:ext cx="3279390" cy="7562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latin typeface="Cambria Math" panose="02040503050406030204" pitchFamily="18" charset="0"/>
                </a:rPr>
                <a:t>𝐺𝑖𝑛𝑖 →𝐼_𝐺=1−∑_(𝑖=1)^𝑐▒〖𝑝(𝑖│𝑡)^2 〗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0</xdr:col>
      <xdr:colOff>723064</xdr:colOff>
      <xdr:row>30</xdr:row>
      <xdr:rowOff>134843</xdr:rowOff>
    </xdr:from>
    <xdr:ext cx="6093015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E6E3F1B-C227-4226-BC28-14C209689125}"/>
                </a:ext>
              </a:extLst>
            </xdr:cNvPr>
            <xdr:cNvSpPr txBox="1"/>
          </xdr:nvSpPr>
          <xdr:spPr>
            <a:xfrm>
              <a:off x="723064" y="5621243"/>
              <a:ext cx="6093015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𝑐𝑙𝑎𝑠𝑠𝑖𝑓𝑖𝑐𝑎𝑡𝑖𝑜𝑛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𝑒𝑟𝑟𝑜𝑟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 →</m:t>
                    </m:r>
                    <m:sSub>
                      <m:sSub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𝐸</m:t>
                        </m:r>
                      </m:sub>
                    </m:sSub>
                    <m:r>
                      <a:rPr lang="en-US" sz="2400" b="0" i="1">
                        <a:latin typeface="Cambria Math" panose="02040503050406030204" pitchFamily="18" charset="0"/>
                      </a:rPr>
                      <m:t>=1−</m:t>
                    </m:r>
                    <m:r>
                      <m:rPr>
                        <m:sty m:val="p"/>
                      </m:rPr>
                      <a:rPr lang="en-US" sz="24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⁡{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𝑝</m:t>
                    </m:r>
                    <m:d>
                      <m:d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  <m:e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US" sz="2400" b="0" i="1">
                        <a:latin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24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E6E3F1B-C227-4226-BC28-14C209689125}"/>
                </a:ext>
              </a:extLst>
            </xdr:cNvPr>
            <xdr:cNvSpPr txBox="1"/>
          </xdr:nvSpPr>
          <xdr:spPr>
            <a:xfrm>
              <a:off x="723064" y="5621243"/>
              <a:ext cx="6093015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𝑐𝑙𝑎𝑠𝑠𝑖𝑓𝑖𝑐𝑎𝑡𝑖𝑜𝑛 𝑒𝑟𝑟𝑜𝑟 →𝐼_𝐸=1−max⁡{𝑝(𝑖│𝑡)}</a:t>
              </a:r>
              <a:endParaRPr lang="en-US" sz="2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topLeftCell="A8" zoomScale="93" workbookViewId="0">
      <selection activeCell="E14" sqref="E14"/>
    </sheetView>
  </sheetViews>
  <sheetFormatPr baseColWidth="10" defaultRowHeight="14.4" x14ac:dyDescent="0.3"/>
  <sheetData>
    <row r="2" spans="2:8" x14ac:dyDescent="0.3">
      <c r="D2" s="5">
        <v>50</v>
      </c>
      <c r="E2" s="5">
        <v>50</v>
      </c>
    </row>
    <row r="4" spans="2:8" x14ac:dyDescent="0.3">
      <c r="B4" t="s">
        <v>3</v>
      </c>
      <c r="C4" s="2">
        <v>40</v>
      </c>
      <c r="D4" s="2">
        <v>10</v>
      </c>
      <c r="F4" s="4">
        <v>10</v>
      </c>
      <c r="G4" s="4">
        <v>40</v>
      </c>
    </row>
    <row r="5" spans="2:8" x14ac:dyDescent="0.3">
      <c r="G5" t="s">
        <v>9</v>
      </c>
    </row>
    <row r="6" spans="2:8" x14ac:dyDescent="0.3">
      <c r="C6" s="1" t="s">
        <v>7</v>
      </c>
      <c r="D6" s="1" t="s">
        <v>8</v>
      </c>
      <c r="G6" s="1" t="s">
        <v>2</v>
      </c>
      <c r="H6" s="1">
        <f>1-(D2/(D2+E2))</f>
        <v>0.5</v>
      </c>
    </row>
    <row r="7" spans="2:8" x14ac:dyDescent="0.3">
      <c r="B7" s="1" t="s">
        <v>2</v>
      </c>
      <c r="C7" s="1">
        <f>1-(MAX((C4/(D4+C4)),(D4/(C4+D4))))</f>
        <v>0.19999999999999996</v>
      </c>
      <c r="D7" s="1">
        <f>1-(MAX((F4/(F4+G4)),(G4/(F4+G4))))</f>
        <v>0.19999999999999996</v>
      </c>
    </row>
    <row r="8" spans="2:8" x14ac:dyDescent="0.3">
      <c r="B8" s="3" t="s">
        <v>4</v>
      </c>
      <c r="C8" s="3">
        <f>H6-((D4+C4)/(D2+E2))*C7-((F4+G4)/(D2+E2))*D7</f>
        <v>0.30000000000000004</v>
      </c>
    </row>
    <row r="9" spans="2:8" x14ac:dyDescent="0.3">
      <c r="C9" s="1" t="s">
        <v>7</v>
      </c>
      <c r="D9" s="1" t="s">
        <v>8</v>
      </c>
      <c r="G9" t="s">
        <v>10</v>
      </c>
    </row>
    <row r="10" spans="2:8" x14ac:dyDescent="0.3">
      <c r="B10" s="1" t="s">
        <v>5</v>
      </c>
      <c r="C10" s="1">
        <f>1-(POWER((D4/(D4+C4)),2)+POWER((C4/(D4+C4)),2))</f>
        <v>0.31999999999999984</v>
      </c>
      <c r="D10" s="1">
        <f>1-(POWER((F4/(F4+G4)),2)+POWER((G4/(F4+G4)),2))</f>
        <v>0.31999999999999984</v>
      </c>
      <c r="G10" s="1" t="s">
        <v>0</v>
      </c>
      <c r="H10" s="1">
        <f>1-(POWER((D2/(D2+E2)),2)+POWER((E2/(D2+E2)),2))</f>
        <v>0.5</v>
      </c>
    </row>
    <row r="11" spans="2:8" x14ac:dyDescent="0.3">
      <c r="B11" s="3" t="s">
        <v>5</v>
      </c>
      <c r="C11" s="3">
        <f>H10-((D4+C4)/(D2+E2))*C10-((F4+G4)/(D2+E2))*D10</f>
        <v>0.18000000000000016</v>
      </c>
    </row>
    <row r="12" spans="2:8" x14ac:dyDescent="0.3">
      <c r="G12" t="s">
        <v>11</v>
      </c>
    </row>
    <row r="13" spans="2:8" x14ac:dyDescent="0.3">
      <c r="C13" s="1" t="s">
        <v>7</v>
      </c>
      <c r="D13" s="1" t="s">
        <v>8</v>
      </c>
      <c r="G13" s="1" t="s">
        <v>1</v>
      </c>
      <c r="H13" s="1">
        <f>-((D2/(D2+E2))*LOG((D2/(D2+E2)),2)+((E2/(D2+E2))*LOG((E2/(D2+E2)),2)))</f>
        <v>1</v>
      </c>
    </row>
    <row r="14" spans="2:8" x14ac:dyDescent="0.3">
      <c r="B14" s="1" t="s">
        <v>1</v>
      </c>
      <c r="C14" s="1">
        <f>IF(D4+C4=0, 0, -(
  IF(D4=0, 0, (D4/(D4+C4))*LOG(D4/(D4+C4),2)) +
  IF(C4=0, 0, (C4/(D4+C4))*LOG(C4/(D4+C4),2))
))</f>
        <v>0.72192809488736231</v>
      </c>
      <c r="D14" s="1">
        <f>IF(F4+G4=0, 0, -(
  IF(F4=0, 0, (F4/(F4+G4))*LOG(F4/(F4+G4),2)) +
  IF(G4=0, 0, (G4/(F4+G4))*LOG(G4/(F4+G4),2))
))</f>
        <v>0.72192809488736231</v>
      </c>
    </row>
    <row r="15" spans="2:8" x14ac:dyDescent="0.3">
      <c r="B15" s="3" t="s">
        <v>6</v>
      </c>
      <c r="C15" s="3">
        <f>H13-((D4+C4)/(D2+E2))*C14-((F4+G4)/(D2+E2))*D14</f>
        <v>0.27807190511263769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335B-1FB9-46FF-BD76-3538AC2B1BE7}">
  <dimension ref="B2:H15"/>
  <sheetViews>
    <sheetView tabSelected="1" zoomScale="93" workbookViewId="0">
      <selection activeCell="L26" sqref="L26"/>
    </sheetView>
  </sheetViews>
  <sheetFormatPr baseColWidth="10" defaultRowHeight="14.4" x14ac:dyDescent="0.3"/>
  <sheetData>
    <row r="2" spans="2:8" x14ac:dyDescent="0.3">
      <c r="D2" s="5">
        <v>50</v>
      </c>
      <c r="E2" s="5">
        <v>50</v>
      </c>
    </row>
    <row r="4" spans="2:8" x14ac:dyDescent="0.3">
      <c r="B4" t="s">
        <v>3</v>
      </c>
      <c r="C4" s="2">
        <v>25</v>
      </c>
      <c r="D4" s="2">
        <v>0</v>
      </c>
      <c r="F4" s="4">
        <v>25</v>
      </c>
      <c r="G4" s="4">
        <v>50</v>
      </c>
    </row>
    <row r="5" spans="2:8" x14ac:dyDescent="0.3">
      <c r="G5" t="s">
        <v>9</v>
      </c>
    </row>
    <row r="6" spans="2:8" x14ac:dyDescent="0.3">
      <c r="C6" s="1" t="s">
        <v>7</v>
      </c>
      <c r="D6" s="1" t="s">
        <v>8</v>
      </c>
      <c r="G6" s="1" t="s">
        <v>2</v>
      </c>
      <c r="H6" s="1">
        <f>1-(D2/(D2+E2))</f>
        <v>0.5</v>
      </c>
    </row>
    <row r="7" spans="2:8" x14ac:dyDescent="0.3">
      <c r="B7" s="1" t="s">
        <v>2</v>
      </c>
      <c r="C7" s="1">
        <f>1-(MAX((C4/(D4+C4)),(D4/(C4+D4))))</f>
        <v>0</v>
      </c>
      <c r="D7" s="1">
        <f>1-(MAX((F4/(F4+G4)),(G4/(F4+G4))))</f>
        <v>0.33333333333333337</v>
      </c>
    </row>
    <row r="8" spans="2:8" x14ac:dyDescent="0.3">
      <c r="B8" s="3" t="s">
        <v>4</v>
      </c>
      <c r="C8" s="3">
        <f>H6-((D4+C4)/(D2+E2))*C7-((F4+G4)/(D2+E2))*D7</f>
        <v>0.25</v>
      </c>
    </row>
    <row r="9" spans="2:8" x14ac:dyDescent="0.3">
      <c r="C9" s="1" t="s">
        <v>7</v>
      </c>
      <c r="D9" s="1" t="s">
        <v>8</v>
      </c>
      <c r="G9" t="s">
        <v>10</v>
      </c>
    </row>
    <row r="10" spans="2:8" x14ac:dyDescent="0.3">
      <c r="B10" s="1" t="s">
        <v>5</v>
      </c>
      <c r="C10" s="1">
        <f>1-(POWER((D4/(D4+C4)),2)+POWER((C4/(D4+C4)),2))</f>
        <v>0</v>
      </c>
      <c r="D10" s="1">
        <f>1-(POWER((F4/(F4+G4)),2)+POWER((G4/(F4+G4)),2))</f>
        <v>0.44444444444444442</v>
      </c>
      <c r="G10" s="1" t="s">
        <v>0</v>
      </c>
      <c r="H10" s="1">
        <f>1-(POWER((D2/(D2+E2)),2)+POWER((E2/(D2+E2)),2))</f>
        <v>0.5</v>
      </c>
    </row>
    <row r="11" spans="2:8" x14ac:dyDescent="0.3">
      <c r="B11" s="3" t="s">
        <v>5</v>
      </c>
      <c r="C11" s="3">
        <f>H10-((D4+C4)/(D2+E2))*C10-((F4+G4)/(D2+E2))*D10</f>
        <v>0.16666666666666669</v>
      </c>
    </row>
    <row r="12" spans="2:8" x14ac:dyDescent="0.3">
      <c r="G12" t="s">
        <v>11</v>
      </c>
    </row>
    <row r="13" spans="2:8" x14ac:dyDescent="0.3">
      <c r="C13" s="1" t="s">
        <v>7</v>
      </c>
      <c r="D13" s="1" t="s">
        <v>8</v>
      </c>
      <c r="G13" s="1" t="s">
        <v>1</v>
      </c>
      <c r="H13" s="1">
        <f>-((D2/(D2+E2))*LOG((D2/(D2+E2)),2)+((E2/(D2+E2))*LOG((E2/(D2+E2)),2)))</f>
        <v>1</v>
      </c>
    </row>
    <row r="14" spans="2:8" x14ac:dyDescent="0.3">
      <c r="B14" s="1" t="s">
        <v>1</v>
      </c>
      <c r="C14" s="1">
        <f>IF(D4+C4=0, 0, -(
  IF(D4=0, 0, (D4/(D4+C4))*LOG(D4/(D4+C4),2)) +
  IF(C4=0, 0, (C4/(D4+C4))*LOG(C4/(D4+C4),2))
))</f>
        <v>0</v>
      </c>
      <c r="D14" s="1">
        <f>IF(F4+G4=0, 0, -(
  IF(F4=0, 0, (F4/(F4+G4))*LOG(F4/(F4+G4),2)) +
  IF(G4=0, 0, (G4/(F4+G4))*LOG(G4/(F4+G4),2))
))</f>
        <v>0.91829583405448956</v>
      </c>
    </row>
    <row r="15" spans="2:8" x14ac:dyDescent="0.3">
      <c r="B15" s="3" t="s">
        <v>6</v>
      </c>
      <c r="C15" s="3">
        <f>H13-((D4+C4)/(D2+E2))*C14-((F4+G4)/(D2+E2))*D14</f>
        <v>0.31127812445913283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Denys Dutan</dc:creator>
  <cp:lastModifiedBy>Remigio Ismael Hurtado Ortiz.</cp:lastModifiedBy>
  <dcterms:created xsi:type="dcterms:W3CDTF">2023-01-06T15:14:40Z</dcterms:created>
  <dcterms:modified xsi:type="dcterms:W3CDTF">2026-01-08T00:10:24Z</dcterms:modified>
</cp:coreProperties>
</file>