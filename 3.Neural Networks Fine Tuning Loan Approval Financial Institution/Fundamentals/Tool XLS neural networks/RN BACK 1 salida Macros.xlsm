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hurtadoo\Dropbox\9.Docencia\1.MATERIAS\2.IA y ML\2.PRÁCTICAS\2.Aprendizaje Supervisado\c.Supervisado Redes Neuronales Clasificacion\1.XLS RN Fundamentos\"/>
    </mc:Choice>
  </mc:AlternateContent>
  <bookViews>
    <workbookView xWindow="-105" yWindow="-105" windowWidth="23250" windowHeight="12450" activeTab="1"/>
  </bookViews>
  <sheets>
    <sheet name="Forward Propagation" sheetId="3" r:id="rId1"/>
    <sheet name="Epoch" sheetId="1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" i="1" l="1"/>
  <c r="H15" i="1"/>
  <c r="H6" i="1"/>
  <c r="H5" i="1" s="1"/>
  <c r="H24" i="3" l="1"/>
  <c r="H23" i="3" s="1"/>
  <c r="H15" i="3"/>
  <c r="H14" i="3" s="1"/>
  <c r="H6" i="3"/>
  <c r="H5" i="3" s="1"/>
  <c r="N9" i="3" l="1"/>
  <c r="N8" i="3" s="1"/>
  <c r="H14" i="1" l="1"/>
  <c r="H23" i="1" l="1"/>
  <c r="N9" i="1" s="1"/>
  <c r="N8" i="1" l="1"/>
  <c r="P8" i="1" l="1"/>
  <c r="N7" i="1"/>
  <c r="H22" i="1" s="1"/>
  <c r="H26" i="1" s="1"/>
  <c r="K5" i="1" l="1"/>
  <c r="K23" i="1"/>
  <c r="H4" i="1"/>
  <c r="E4" i="1" s="1"/>
  <c r="N11" i="1"/>
  <c r="K14" i="1"/>
  <c r="H13" i="1"/>
  <c r="E12" i="1" s="1"/>
  <c r="E24" i="1"/>
  <c r="E28" i="1"/>
  <c r="H17" i="1" l="1"/>
  <c r="H8" i="1"/>
  <c r="E20" i="1"/>
  <c r="E8" i="1"/>
</calcChain>
</file>

<file path=xl/sharedStrings.xml><?xml version="1.0" encoding="utf-8"?>
<sst xmlns="http://schemas.openxmlformats.org/spreadsheetml/2006/main" count="106" uniqueCount="46">
  <si>
    <t>δ</t>
  </si>
  <si>
    <t>b</t>
  </si>
  <si>
    <t>b'</t>
  </si>
  <si>
    <t>w</t>
  </si>
  <si>
    <t>w'</t>
  </si>
  <si>
    <t>Neuronas</t>
  </si>
  <si>
    <t>W11</t>
  </si>
  <si>
    <t>w21</t>
  </si>
  <si>
    <t>W12</t>
  </si>
  <si>
    <t>W22</t>
  </si>
  <si>
    <t>W13</t>
  </si>
  <si>
    <t>W23</t>
  </si>
  <si>
    <t>X2</t>
  </si>
  <si>
    <t>X1</t>
  </si>
  <si>
    <t>Los bias nunca suelen ser grandes</t>
  </si>
  <si>
    <t>Salida deseada</t>
  </si>
  <si>
    <r>
      <rPr>
        <sz val="16"/>
        <color theme="1"/>
        <rFont val="Calibri"/>
        <family val="2"/>
      </rPr>
      <t>λ</t>
    </r>
    <r>
      <rPr>
        <sz val="11.2"/>
        <color theme="1"/>
        <rFont val="Calibri"/>
        <family val="2"/>
      </rPr>
      <t>=</t>
    </r>
  </si>
  <si>
    <t>Como el problema es de clasificación se usa la función de activación sigmoidal</t>
  </si>
  <si>
    <t>(Y real)</t>
  </si>
  <si>
    <t>Tasa de aprendizaje</t>
  </si>
  <si>
    <t>Capa 1</t>
  </si>
  <si>
    <t>Salidas</t>
  </si>
  <si>
    <t>z</t>
  </si>
  <si>
    <t>yi=f(z)</t>
  </si>
  <si>
    <t>Si el problema es de regresión la función de activación queda igual a z</t>
  </si>
  <si>
    <t>Capa 2 de Salida</t>
  </si>
  <si>
    <t>OR</t>
  </si>
  <si>
    <t>Y</t>
  </si>
  <si>
    <t>Error (L) - Función de pérdida J(w)</t>
  </si>
  <si>
    <t>x1</t>
  </si>
  <si>
    <t>x2</t>
  </si>
  <si>
    <t>y (real)</t>
  </si>
  <si>
    <t>W2,4</t>
  </si>
  <si>
    <t>W1,4</t>
  </si>
  <si>
    <t>W3,4</t>
  </si>
  <si>
    <t>W1,1</t>
  </si>
  <si>
    <t>w2,1</t>
  </si>
  <si>
    <t>W1,2</t>
  </si>
  <si>
    <t>W2,2</t>
  </si>
  <si>
    <t>W1,3</t>
  </si>
  <si>
    <t>W2,3</t>
  </si>
  <si>
    <t>N1</t>
  </si>
  <si>
    <t>N2</t>
  </si>
  <si>
    <t>N3</t>
  </si>
  <si>
    <t>N4</t>
  </si>
  <si>
    <t># Epochs: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</si>
</sst>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</font>
    <font>
      <sz val="11.2"/>
      <color theme="1"/>
      <name val="Calibri"/>
      <family val="2"/>
    </font>
    <font>
      <b/>
      <sz val="16"/>
      <color rgb="FF0070C0"/>
      <name val="Calibri"/>
      <family val="2"/>
      <scheme val="minor"/>
    </font>
    <font>
      <sz val="16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2" xfId="0" applyBorder="1"/>
    <xf numFmtId="0" fontId="2" fillId="2" borderId="2" xfId="0" applyFont="1" applyFill="1" applyBorder="1"/>
    <xf numFmtId="0" fontId="0" fillId="2" borderId="2" xfId="0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2" fillId="0" borderId="0" xfId="0" applyFont="1"/>
    <xf numFmtId="0" fontId="1" fillId="0" borderId="0" xfId="0" applyFont="1" applyAlignment="1">
      <alignment horizontal="center"/>
    </xf>
    <xf numFmtId="0" fontId="0" fillId="7" borderId="0" xfId="0" applyFill="1" applyAlignment="1">
      <alignment horizontal="center"/>
    </xf>
    <xf numFmtId="0" fontId="1" fillId="0" borderId="0" xfId="0" applyFont="1"/>
    <xf numFmtId="0" fontId="4" fillId="0" borderId="0" xfId="0" applyFont="1"/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27217</xdr:colOff>
      <xdr:row>2</xdr:row>
      <xdr:rowOff>231321</xdr:rowOff>
    </xdr:from>
    <xdr:to>
      <xdr:col>3</xdr:col>
      <xdr:colOff>13607</xdr:colOff>
      <xdr:row>6</xdr:row>
      <xdr:rowOff>149679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1227367" y="764721"/>
          <a:ext cx="1129390" cy="9851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900796</xdr:colOff>
      <xdr:row>5</xdr:row>
      <xdr:rowOff>258536</xdr:rowOff>
    </xdr:from>
    <xdr:to>
      <xdr:col>3</xdr:col>
      <xdr:colOff>0</xdr:colOff>
      <xdr:row>22</xdr:row>
      <xdr:rowOff>70758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1186546" y="1592036"/>
          <a:ext cx="1156604" cy="434612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13610</xdr:colOff>
      <xdr:row>7</xdr:row>
      <xdr:rowOff>13607</xdr:rowOff>
    </xdr:from>
    <xdr:to>
      <xdr:col>3</xdr:col>
      <xdr:colOff>0</xdr:colOff>
      <xdr:row>11</xdr:row>
      <xdr:rowOff>0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 flipV="1">
          <a:off x="1213760" y="1880507"/>
          <a:ext cx="1129390" cy="105319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857250</xdr:colOff>
      <xdr:row>18</xdr:row>
      <xdr:rowOff>27215</xdr:rowOff>
    </xdr:from>
    <xdr:to>
      <xdr:col>3</xdr:col>
      <xdr:colOff>1</xdr:colOff>
      <xdr:row>22</xdr:row>
      <xdr:rowOff>95250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1143000" y="4827815"/>
          <a:ext cx="1200151" cy="113483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680358</xdr:colOff>
      <xdr:row>7</xdr:row>
      <xdr:rowOff>27214</xdr:rowOff>
    </xdr:from>
    <xdr:to>
      <xdr:col>2</xdr:col>
      <xdr:colOff>1115785</xdr:colOff>
      <xdr:row>21</xdr:row>
      <xdr:rowOff>40821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 flipV="1">
          <a:off x="966108" y="1894114"/>
          <a:ext cx="1349827" cy="374740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884465</xdr:colOff>
      <xdr:row>23</xdr:row>
      <xdr:rowOff>54427</xdr:rowOff>
    </xdr:from>
    <xdr:to>
      <xdr:col>3</xdr:col>
      <xdr:colOff>0</xdr:colOff>
      <xdr:row>26</xdr:row>
      <xdr:rowOff>13607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1170215" y="6188527"/>
          <a:ext cx="1172935" cy="7592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2724</xdr:colOff>
      <xdr:row>2</xdr:row>
      <xdr:rowOff>247649</xdr:rowOff>
    </xdr:from>
    <xdr:to>
      <xdr:col>5</xdr:col>
      <xdr:colOff>1129393</xdr:colOff>
      <xdr:row>4</xdr:row>
      <xdr:rowOff>149679</xdr:rowOff>
    </xdr:to>
    <xdr:cxnSp macro="">
      <xdr:nvCxnSpPr>
        <xdr:cNvPr id="8" name="Conector rec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H="1" flipV="1">
          <a:off x="3517449" y="781049"/>
          <a:ext cx="1126669" cy="435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27214</xdr:colOff>
      <xdr:row>5</xdr:row>
      <xdr:rowOff>204107</xdr:rowOff>
    </xdr:from>
    <xdr:to>
      <xdr:col>6</xdr:col>
      <xdr:colOff>27214</xdr:colOff>
      <xdr:row>5</xdr:row>
      <xdr:rowOff>258536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H="1">
          <a:off x="3541939" y="1537607"/>
          <a:ext cx="1143000" cy="544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16332</xdr:colOff>
      <xdr:row>11</xdr:row>
      <xdr:rowOff>2722</xdr:rowOff>
    </xdr:from>
    <xdr:to>
      <xdr:col>5</xdr:col>
      <xdr:colOff>1115786</xdr:colOff>
      <xdr:row>14</xdr:row>
      <xdr:rowOff>0</xdr:rowOff>
    </xdr:to>
    <xdr:cxnSp macro="">
      <xdr:nvCxnSpPr>
        <xdr:cNvPr id="10" name="Conector rec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 flipV="1">
          <a:off x="3531057" y="2936422"/>
          <a:ext cx="1099454" cy="79737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713018</xdr:colOff>
      <xdr:row>15</xdr:row>
      <xdr:rowOff>54428</xdr:rowOff>
    </xdr:from>
    <xdr:to>
      <xdr:col>5</xdr:col>
      <xdr:colOff>1115786</xdr:colOff>
      <xdr:row>18</xdr:row>
      <xdr:rowOff>236766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H="1">
          <a:off x="3332393" y="4054928"/>
          <a:ext cx="1298118" cy="98243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715740</xdr:colOff>
      <xdr:row>22</xdr:row>
      <xdr:rowOff>8166</xdr:rowOff>
    </xdr:from>
    <xdr:to>
      <xdr:col>6</xdr:col>
      <xdr:colOff>13607</xdr:colOff>
      <xdr:row>23</xdr:row>
      <xdr:rowOff>136071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 flipV="1">
          <a:off x="3335115" y="5875566"/>
          <a:ext cx="1336217" cy="39460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715741</xdr:colOff>
      <xdr:row>24</xdr:row>
      <xdr:rowOff>108857</xdr:rowOff>
    </xdr:from>
    <xdr:to>
      <xdr:col>6</xdr:col>
      <xdr:colOff>0</xdr:colOff>
      <xdr:row>27</xdr:row>
      <xdr:rowOff>27218</xdr:rowOff>
    </xdr:to>
    <xdr:cxnSp macro="">
      <xdr:nvCxnSpPr>
        <xdr:cNvPr id="13" name="Conector rec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3335116" y="6509657"/>
          <a:ext cx="1322609" cy="71846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29936</xdr:colOff>
      <xdr:row>3</xdr:row>
      <xdr:rowOff>16329</xdr:rowOff>
    </xdr:from>
    <xdr:to>
      <xdr:col>12</xdr:col>
      <xdr:colOff>0</xdr:colOff>
      <xdr:row>6</xdr:row>
      <xdr:rowOff>13607</xdr:rowOff>
    </xdr:to>
    <xdr:cxnSp macro="">
      <xdr:nvCxnSpPr>
        <xdr:cNvPr id="14" name="Conector rec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H="1" flipV="1">
          <a:off x="8430986" y="816429"/>
          <a:ext cx="1113064" cy="79737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726625</xdr:colOff>
      <xdr:row>3</xdr:row>
      <xdr:rowOff>250371</xdr:rowOff>
    </xdr:from>
    <xdr:to>
      <xdr:col>9</xdr:col>
      <xdr:colOff>0</xdr:colOff>
      <xdr:row>4</xdr:row>
      <xdr:rowOff>0</xdr:rowOff>
    </xdr:to>
    <xdr:cxnSp macro="">
      <xdr:nvCxnSpPr>
        <xdr:cNvPr id="15" name="Conector rect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H="1" flipV="1">
          <a:off x="5993950" y="1050471"/>
          <a:ext cx="1311725" cy="163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677640</xdr:colOff>
      <xdr:row>12</xdr:row>
      <xdr:rowOff>204107</xdr:rowOff>
    </xdr:from>
    <xdr:to>
      <xdr:col>9</xdr:col>
      <xdr:colOff>13608</xdr:colOff>
      <xdr:row>12</xdr:row>
      <xdr:rowOff>255816</xdr:rowOff>
    </xdr:to>
    <xdr:cxnSp macro="">
      <xdr:nvCxnSpPr>
        <xdr:cNvPr id="16" name="Conector rec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5944965" y="3404507"/>
          <a:ext cx="1374318" cy="5170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13612</xdr:colOff>
      <xdr:row>8</xdr:row>
      <xdr:rowOff>149678</xdr:rowOff>
    </xdr:from>
    <xdr:to>
      <xdr:col>11</xdr:col>
      <xdr:colOff>1129393</xdr:colOff>
      <xdr:row>12</xdr:row>
      <xdr:rowOff>176895</xdr:rowOff>
    </xdr:to>
    <xdr:cxnSp macro="">
      <xdr:nvCxnSpPr>
        <xdr:cNvPr id="17" name="Conector rect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H="1">
          <a:off x="8414662" y="2283278"/>
          <a:ext cx="1115781" cy="109401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13613</xdr:colOff>
      <xdr:row>10</xdr:row>
      <xdr:rowOff>40821</xdr:rowOff>
    </xdr:from>
    <xdr:to>
      <xdr:col>12</xdr:col>
      <xdr:colOff>0</xdr:colOff>
      <xdr:row>21</xdr:row>
      <xdr:rowOff>253095</xdr:rowOff>
    </xdr:to>
    <xdr:cxnSp macro="">
      <xdr:nvCxnSpPr>
        <xdr:cNvPr id="18" name="Conector rect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H="1">
          <a:off x="8414663" y="2707821"/>
          <a:ext cx="1129387" cy="314597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</xdr:colOff>
      <xdr:row>21</xdr:row>
      <xdr:rowOff>234043</xdr:rowOff>
    </xdr:from>
    <xdr:to>
      <xdr:col>9</xdr:col>
      <xdr:colOff>84365</xdr:colOff>
      <xdr:row>22</xdr:row>
      <xdr:rowOff>13609</xdr:rowOff>
    </xdr:to>
    <xdr:cxnSp macro="">
      <xdr:nvCxnSpPr>
        <xdr:cNvPr id="19" name="Conector rec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H="1">
          <a:off x="6162680" y="5834743"/>
          <a:ext cx="1227360" cy="4626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27217</xdr:colOff>
      <xdr:row>2</xdr:row>
      <xdr:rowOff>231321</xdr:rowOff>
    </xdr:from>
    <xdr:to>
      <xdr:col>3</xdr:col>
      <xdr:colOff>13607</xdr:colOff>
      <xdr:row>6</xdr:row>
      <xdr:rowOff>149679</xdr:rowOff>
    </xdr:to>
    <xdr:cxnSp macro="">
      <xdr:nvCxnSpPr>
        <xdr:cNvPr id="46" name="Conector recto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CxnSpPr/>
      </xdr:nvCxnSpPr>
      <xdr:spPr>
        <a:xfrm flipH="1">
          <a:off x="1224646" y="775607"/>
          <a:ext cx="1129390" cy="10069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900796</xdr:colOff>
      <xdr:row>5</xdr:row>
      <xdr:rowOff>258536</xdr:rowOff>
    </xdr:from>
    <xdr:to>
      <xdr:col>3</xdr:col>
      <xdr:colOff>0</xdr:colOff>
      <xdr:row>22</xdr:row>
      <xdr:rowOff>70758</xdr:rowOff>
    </xdr:to>
    <xdr:cxnSp macro="">
      <xdr:nvCxnSpPr>
        <xdr:cNvPr id="48" name="Conector recto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CxnSpPr/>
      </xdr:nvCxnSpPr>
      <xdr:spPr>
        <a:xfrm flipH="1">
          <a:off x="1186546" y="1619250"/>
          <a:ext cx="1153883" cy="443865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13610</xdr:colOff>
      <xdr:row>7</xdr:row>
      <xdr:rowOff>13607</xdr:rowOff>
    </xdr:from>
    <xdr:to>
      <xdr:col>3</xdr:col>
      <xdr:colOff>0</xdr:colOff>
      <xdr:row>11</xdr:row>
      <xdr:rowOff>0</xdr:rowOff>
    </xdr:to>
    <xdr:cxnSp macro="">
      <xdr:nvCxnSpPr>
        <xdr:cNvPr id="50" name="Conector recto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H="1" flipV="1">
          <a:off x="1211039" y="1918607"/>
          <a:ext cx="1129390" cy="107496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857250</xdr:colOff>
      <xdr:row>18</xdr:row>
      <xdr:rowOff>27215</xdr:rowOff>
    </xdr:from>
    <xdr:to>
      <xdr:col>3</xdr:col>
      <xdr:colOff>1</xdr:colOff>
      <xdr:row>22</xdr:row>
      <xdr:rowOff>95250</xdr:rowOff>
    </xdr:to>
    <xdr:cxnSp macro="">
      <xdr:nvCxnSpPr>
        <xdr:cNvPr id="52" name="Conector recto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CxnSpPr/>
      </xdr:nvCxnSpPr>
      <xdr:spPr>
        <a:xfrm flipH="1">
          <a:off x="1143000" y="4925786"/>
          <a:ext cx="1197430" cy="115660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680358</xdr:colOff>
      <xdr:row>7</xdr:row>
      <xdr:rowOff>27214</xdr:rowOff>
    </xdr:from>
    <xdr:to>
      <xdr:col>2</xdr:col>
      <xdr:colOff>1115785</xdr:colOff>
      <xdr:row>21</xdr:row>
      <xdr:rowOff>40821</xdr:rowOff>
    </xdr:to>
    <xdr:cxnSp macro="">
      <xdr:nvCxnSpPr>
        <xdr:cNvPr id="55" name="Conector recto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CxnSpPr/>
      </xdr:nvCxnSpPr>
      <xdr:spPr>
        <a:xfrm flipH="1" flipV="1">
          <a:off x="966108" y="1932214"/>
          <a:ext cx="1347106" cy="382360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884465</xdr:colOff>
      <xdr:row>23</xdr:row>
      <xdr:rowOff>54427</xdr:rowOff>
    </xdr:from>
    <xdr:to>
      <xdr:col>3</xdr:col>
      <xdr:colOff>0</xdr:colOff>
      <xdr:row>26</xdr:row>
      <xdr:rowOff>13607</xdr:rowOff>
    </xdr:to>
    <xdr:cxnSp macro="">
      <xdr:nvCxnSpPr>
        <xdr:cNvPr id="58" name="Conector recto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CxnSpPr/>
      </xdr:nvCxnSpPr>
      <xdr:spPr>
        <a:xfrm flipH="1" flipV="1">
          <a:off x="1170215" y="6313713"/>
          <a:ext cx="1170214" cy="77560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2724</xdr:colOff>
      <xdr:row>2</xdr:row>
      <xdr:rowOff>247649</xdr:rowOff>
    </xdr:from>
    <xdr:to>
      <xdr:col>5</xdr:col>
      <xdr:colOff>1129393</xdr:colOff>
      <xdr:row>4</xdr:row>
      <xdr:rowOff>149679</xdr:rowOff>
    </xdr:to>
    <xdr:cxnSp macro="">
      <xdr:nvCxnSpPr>
        <xdr:cNvPr id="60" name="Conector recto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CxnSpPr/>
      </xdr:nvCxnSpPr>
      <xdr:spPr>
        <a:xfrm flipH="1" flipV="1">
          <a:off x="3336474" y="791935"/>
          <a:ext cx="1126669" cy="44631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27214</xdr:colOff>
      <xdr:row>5</xdr:row>
      <xdr:rowOff>204107</xdr:rowOff>
    </xdr:from>
    <xdr:to>
      <xdr:col>6</xdr:col>
      <xdr:colOff>27214</xdr:colOff>
      <xdr:row>5</xdr:row>
      <xdr:rowOff>258536</xdr:rowOff>
    </xdr:to>
    <xdr:cxnSp macro="">
      <xdr:nvCxnSpPr>
        <xdr:cNvPr id="62" name="Conector recto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 flipH="1">
          <a:off x="3360964" y="1564821"/>
          <a:ext cx="1143000" cy="544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16332</xdr:colOff>
      <xdr:row>11</xdr:row>
      <xdr:rowOff>2722</xdr:rowOff>
    </xdr:from>
    <xdr:to>
      <xdr:col>5</xdr:col>
      <xdr:colOff>1115786</xdr:colOff>
      <xdr:row>14</xdr:row>
      <xdr:rowOff>0</xdr:rowOff>
    </xdr:to>
    <xdr:cxnSp macro="">
      <xdr:nvCxnSpPr>
        <xdr:cNvPr id="65" name="Conector recto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 flipH="1" flipV="1">
          <a:off x="3350082" y="2996293"/>
          <a:ext cx="1099454" cy="81370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713018</xdr:colOff>
      <xdr:row>15</xdr:row>
      <xdr:rowOff>54428</xdr:rowOff>
    </xdr:from>
    <xdr:to>
      <xdr:col>5</xdr:col>
      <xdr:colOff>1115786</xdr:colOff>
      <xdr:row>18</xdr:row>
      <xdr:rowOff>236766</xdr:rowOff>
    </xdr:to>
    <xdr:cxnSp macro="">
      <xdr:nvCxnSpPr>
        <xdr:cNvPr id="67" name="Conector recto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 flipH="1">
          <a:off x="3325589" y="4136571"/>
          <a:ext cx="1123947" cy="99876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715740</xdr:colOff>
      <xdr:row>22</xdr:row>
      <xdr:rowOff>8166</xdr:rowOff>
    </xdr:from>
    <xdr:to>
      <xdr:col>6</xdr:col>
      <xdr:colOff>13607</xdr:colOff>
      <xdr:row>23</xdr:row>
      <xdr:rowOff>136071</xdr:rowOff>
    </xdr:to>
    <xdr:cxnSp macro="">
      <xdr:nvCxnSpPr>
        <xdr:cNvPr id="69" name="Conector recto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/>
      </xdr:nvCxnSpPr>
      <xdr:spPr>
        <a:xfrm flipH="1" flipV="1">
          <a:off x="3328311" y="5995309"/>
          <a:ext cx="1162046" cy="40004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715741</xdr:colOff>
      <xdr:row>24</xdr:row>
      <xdr:rowOff>108857</xdr:rowOff>
    </xdr:from>
    <xdr:to>
      <xdr:col>6</xdr:col>
      <xdr:colOff>0</xdr:colOff>
      <xdr:row>27</xdr:row>
      <xdr:rowOff>27218</xdr:rowOff>
    </xdr:to>
    <xdr:cxnSp macro="">
      <xdr:nvCxnSpPr>
        <xdr:cNvPr id="71" name="Conector recto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H="1">
          <a:off x="3328312" y="6640286"/>
          <a:ext cx="1148438" cy="73478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29936</xdr:colOff>
      <xdr:row>3</xdr:row>
      <xdr:rowOff>16329</xdr:rowOff>
    </xdr:from>
    <xdr:to>
      <xdr:col>12</xdr:col>
      <xdr:colOff>0</xdr:colOff>
      <xdr:row>6</xdr:row>
      <xdr:rowOff>13607</xdr:rowOff>
    </xdr:to>
    <xdr:cxnSp macro="">
      <xdr:nvCxnSpPr>
        <xdr:cNvPr id="17" name="Conector rect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 flipV="1">
          <a:off x="7745186" y="832758"/>
          <a:ext cx="1113064" cy="8137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726625</xdr:colOff>
      <xdr:row>3</xdr:row>
      <xdr:rowOff>250371</xdr:rowOff>
    </xdr:from>
    <xdr:to>
      <xdr:col>9</xdr:col>
      <xdr:colOff>0</xdr:colOff>
      <xdr:row>4</xdr:row>
      <xdr:rowOff>0</xdr:rowOff>
    </xdr:to>
    <xdr:cxnSp macro="">
      <xdr:nvCxnSpPr>
        <xdr:cNvPr id="19" name="Conector rect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 flipH="1" flipV="1">
          <a:off x="5448304" y="1066800"/>
          <a:ext cx="1164767" cy="217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677640</xdr:colOff>
      <xdr:row>12</xdr:row>
      <xdr:rowOff>204107</xdr:rowOff>
    </xdr:from>
    <xdr:to>
      <xdr:col>9</xdr:col>
      <xdr:colOff>13608</xdr:colOff>
      <xdr:row>12</xdr:row>
      <xdr:rowOff>255816</xdr:rowOff>
    </xdr:to>
    <xdr:cxnSp macro="">
      <xdr:nvCxnSpPr>
        <xdr:cNvPr id="23" name="Conector rect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 flipH="1">
          <a:off x="5399319" y="3469821"/>
          <a:ext cx="1227360" cy="5170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13612</xdr:colOff>
      <xdr:row>8</xdr:row>
      <xdr:rowOff>149678</xdr:rowOff>
    </xdr:from>
    <xdr:to>
      <xdr:col>11</xdr:col>
      <xdr:colOff>1129393</xdr:colOff>
      <xdr:row>12</xdr:row>
      <xdr:rowOff>176895</xdr:rowOff>
    </xdr:to>
    <xdr:cxnSp macro="">
      <xdr:nvCxnSpPr>
        <xdr:cNvPr id="27" name="Conector rect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 flipH="1">
          <a:off x="7728862" y="2326821"/>
          <a:ext cx="1115781" cy="11157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13613</xdr:colOff>
      <xdr:row>10</xdr:row>
      <xdr:rowOff>40821</xdr:rowOff>
    </xdr:from>
    <xdr:to>
      <xdr:col>12</xdr:col>
      <xdr:colOff>0</xdr:colOff>
      <xdr:row>21</xdr:row>
      <xdr:rowOff>253095</xdr:rowOff>
    </xdr:to>
    <xdr:cxnSp macro="">
      <xdr:nvCxnSpPr>
        <xdr:cNvPr id="31" name="Conector rect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 flipH="1">
          <a:off x="7728863" y="2762250"/>
          <a:ext cx="1129387" cy="320584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</xdr:colOff>
      <xdr:row>21</xdr:row>
      <xdr:rowOff>234043</xdr:rowOff>
    </xdr:from>
    <xdr:to>
      <xdr:col>9</xdr:col>
      <xdr:colOff>84365</xdr:colOff>
      <xdr:row>22</xdr:row>
      <xdr:rowOff>13609</xdr:rowOff>
    </xdr:to>
    <xdr:cxnSp macro="">
      <xdr:nvCxnSpPr>
        <xdr:cNvPr id="36" name="Conector recto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 flipH="1">
          <a:off x="5470076" y="5949043"/>
          <a:ext cx="1227360" cy="5170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23</xdr:row>
          <xdr:rowOff>257175</xdr:rowOff>
        </xdr:from>
        <xdr:to>
          <xdr:col>14</xdr:col>
          <xdr:colOff>923925</xdr:colOff>
          <xdr:row>25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Nuevo Epoch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184354</xdr:colOff>
      <xdr:row>14</xdr:row>
      <xdr:rowOff>168992</xdr:rowOff>
    </xdr:from>
    <xdr:to>
      <xdr:col>19</xdr:col>
      <xdr:colOff>1014613</xdr:colOff>
      <xdr:row>18</xdr:row>
      <xdr:rowOff>153629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9233" y="3825363"/>
          <a:ext cx="7697477" cy="10293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24</xdr:row>
          <xdr:rowOff>0</xdr:rowOff>
        </xdr:from>
        <xdr:to>
          <xdr:col>12</xdr:col>
          <xdr:colOff>371475</xdr:colOff>
          <xdr:row>25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28"/>
  <sheetViews>
    <sheetView zoomScale="62" zoomScaleNormal="62" workbookViewId="0">
      <selection activeCell="N24" sqref="N24"/>
    </sheetView>
  </sheetViews>
  <sheetFormatPr baseColWidth="10" defaultRowHeight="21" x14ac:dyDescent="0.35"/>
  <cols>
    <col min="1" max="1" width="2.7265625" bestFit="1" customWidth="1"/>
    <col min="2" max="2" width="8.7265625" customWidth="1"/>
    <col min="4" max="4" width="2.6328125" bestFit="1" customWidth="1"/>
    <col min="5" max="5" width="8.54296875" customWidth="1"/>
    <col min="7" max="7" width="5.81640625" bestFit="1" customWidth="1"/>
    <col min="8" max="8" width="8.54296875" customWidth="1"/>
    <col min="10" max="10" width="2.7265625" bestFit="1" customWidth="1"/>
    <col min="11" max="11" width="7.7265625" customWidth="1"/>
    <col min="13" max="13" width="5.81640625" bestFit="1" customWidth="1"/>
    <col min="14" max="14" width="9.36328125" customWidth="1"/>
  </cols>
  <sheetData>
    <row r="1" spans="1:24" x14ac:dyDescent="0.35">
      <c r="G1" s="29" t="s">
        <v>5</v>
      </c>
      <c r="H1" s="29"/>
      <c r="V1" s="13" t="s">
        <v>26</v>
      </c>
    </row>
    <row r="2" spans="1:24" x14ac:dyDescent="0.35">
      <c r="D2" s="26" t="s">
        <v>35</v>
      </c>
      <c r="E2" s="26"/>
      <c r="G2" s="29" t="s">
        <v>20</v>
      </c>
      <c r="H2" s="29"/>
      <c r="M2" s="29" t="s">
        <v>25</v>
      </c>
      <c r="N2" s="29"/>
      <c r="V2" t="s">
        <v>13</v>
      </c>
      <c r="W2" t="s">
        <v>12</v>
      </c>
      <c r="X2" t="s">
        <v>27</v>
      </c>
    </row>
    <row r="3" spans="1:24" x14ac:dyDescent="0.35">
      <c r="D3" s="8" t="s">
        <v>3</v>
      </c>
      <c r="E3" s="8">
        <v>0.1</v>
      </c>
      <c r="G3" s="26"/>
      <c r="H3" s="26"/>
      <c r="J3" s="26" t="s">
        <v>33</v>
      </c>
      <c r="K3" s="26"/>
      <c r="V3">
        <v>0</v>
      </c>
      <c r="W3">
        <v>0</v>
      </c>
      <c r="X3">
        <v>0</v>
      </c>
    </row>
    <row r="4" spans="1:24" x14ac:dyDescent="0.35">
      <c r="D4" s="1"/>
      <c r="E4" s="1"/>
      <c r="G4" s="2"/>
      <c r="H4" s="3"/>
      <c r="J4" s="8" t="s">
        <v>3</v>
      </c>
      <c r="K4" s="8">
        <v>0.1</v>
      </c>
      <c r="V4">
        <v>0</v>
      </c>
      <c r="W4">
        <v>1</v>
      </c>
      <c r="X4">
        <v>1</v>
      </c>
    </row>
    <row r="5" spans="1:24" x14ac:dyDescent="0.35">
      <c r="G5" s="4" t="s">
        <v>23</v>
      </c>
      <c r="H5" s="4">
        <f>H6</f>
        <v>3.165</v>
      </c>
      <c r="J5" s="1"/>
      <c r="K5" s="1"/>
      <c r="V5">
        <v>1</v>
      </c>
      <c r="W5">
        <v>0</v>
      </c>
      <c r="X5">
        <v>1</v>
      </c>
    </row>
    <row r="6" spans="1:24" x14ac:dyDescent="0.35">
      <c r="D6" s="26" t="s">
        <v>36</v>
      </c>
      <c r="E6" s="26"/>
      <c r="G6" s="5" t="s">
        <v>22</v>
      </c>
      <c r="H6" s="5">
        <f>(B7*E3+B23*E7)</f>
        <v>3.165</v>
      </c>
      <c r="V6">
        <v>1</v>
      </c>
      <c r="W6">
        <v>1</v>
      </c>
      <c r="X6">
        <v>1</v>
      </c>
    </row>
    <row r="7" spans="1:24" x14ac:dyDescent="0.35">
      <c r="A7" s="1" t="s">
        <v>13</v>
      </c>
      <c r="B7" s="1">
        <v>30</v>
      </c>
      <c r="D7" s="8" t="s">
        <v>3</v>
      </c>
      <c r="E7" s="8">
        <v>0.1</v>
      </c>
      <c r="G7" s="6"/>
      <c r="H7" s="6"/>
      <c r="J7" s="27"/>
      <c r="K7" s="27"/>
      <c r="M7" s="2"/>
      <c r="N7" s="3"/>
      <c r="O7" s="28"/>
      <c r="P7" s="27"/>
      <c r="Q7" s="27"/>
    </row>
    <row r="8" spans="1:24" x14ac:dyDescent="0.35">
      <c r="D8" s="1"/>
      <c r="E8" s="1"/>
      <c r="G8" s="7"/>
      <c r="H8" s="7"/>
      <c r="M8" s="4" t="s">
        <v>23</v>
      </c>
      <c r="N8" s="4">
        <f>IF(N9&gt;0.5,1,0)</f>
        <v>1</v>
      </c>
    </row>
    <row r="9" spans="1:24" x14ac:dyDescent="0.35">
      <c r="M9" s="5" t="s">
        <v>22</v>
      </c>
      <c r="N9" s="5">
        <f>(H5*K4+H14*K13+H23*K22)</f>
        <v>0.94950000000000001</v>
      </c>
    </row>
    <row r="10" spans="1:24" x14ac:dyDescent="0.35">
      <c r="D10" s="26" t="s">
        <v>37</v>
      </c>
      <c r="E10" s="26"/>
      <c r="M10" s="6"/>
      <c r="N10" s="6"/>
    </row>
    <row r="11" spans="1:24" x14ac:dyDescent="0.35">
      <c r="D11" s="8" t="s">
        <v>3</v>
      </c>
      <c r="E11" s="8">
        <v>0.1</v>
      </c>
      <c r="M11" s="7"/>
      <c r="N11" s="7"/>
    </row>
    <row r="12" spans="1:24" x14ac:dyDescent="0.35">
      <c r="D12" s="1"/>
      <c r="E12" s="1"/>
      <c r="J12" s="26" t="s">
        <v>32</v>
      </c>
      <c r="K12" s="26"/>
    </row>
    <row r="13" spans="1:24" x14ac:dyDescent="0.35">
      <c r="G13" s="2"/>
      <c r="H13" s="3"/>
      <c r="J13" s="8" t="s">
        <v>3</v>
      </c>
      <c r="K13" s="8">
        <v>0.1</v>
      </c>
    </row>
    <row r="14" spans="1:24" x14ac:dyDescent="0.35">
      <c r="G14" s="4" t="s">
        <v>23</v>
      </c>
      <c r="H14" s="4">
        <f>H15</f>
        <v>3.165</v>
      </c>
      <c r="J14" s="1"/>
      <c r="K14" s="1"/>
      <c r="O14" s="10"/>
    </row>
    <row r="15" spans="1:24" x14ac:dyDescent="0.35">
      <c r="G15" s="5" t="s">
        <v>22</v>
      </c>
      <c r="H15" s="5">
        <f>(B7*E11+B23*E19)</f>
        <v>3.165</v>
      </c>
    </row>
    <row r="16" spans="1:24" x14ac:dyDescent="0.35">
      <c r="G16" s="6"/>
      <c r="H16" s="6"/>
    </row>
    <row r="17" spans="1:13" x14ac:dyDescent="0.35">
      <c r="G17" s="7"/>
      <c r="H17" s="7"/>
    </row>
    <row r="18" spans="1:13" x14ac:dyDescent="0.35">
      <c r="D18" s="26" t="s">
        <v>38</v>
      </c>
      <c r="E18" s="26"/>
      <c r="J18" s="27"/>
      <c r="K18" s="27"/>
    </row>
    <row r="19" spans="1:13" x14ac:dyDescent="0.35">
      <c r="D19" s="8" t="s">
        <v>3</v>
      </c>
      <c r="E19" s="8">
        <v>0.1</v>
      </c>
      <c r="M19" s="10"/>
    </row>
    <row r="20" spans="1:13" x14ac:dyDescent="0.35">
      <c r="D20" s="1"/>
      <c r="E20" s="1"/>
    </row>
    <row r="21" spans="1:13" x14ac:dyDescent="0.35">
      <c r="J21" s="26" t="s">
        <v>34</v>
      </c>
      <c r="K21" s="26"/>
    </row>
    <row r="22" spans="1:13" x14ac:dyDescent="0.35">
      <c r="D22" s="24" t="s">
        <v>39</v>
      </c>
      <c r="E22" s="25"/>
      <c r="G22" s="2"/>
      <c r="H22" s="3"/>
      <c r="J22" s="8" t="s">
        <v>3</v>
      </c>
      <c r="K22" s="8">
        <v>0.1</v>
      </c>
    </row>
    <row r="23" spans="1:13" x14ac:dyDescent="0.35">
      <c r="A23" s="1" t="s">
        <v>12</v>
      </c>
      <c r="B23" s="1">
        <v>1.65</v>
      </c>
      <c r="D23" s="8" t="s">
        <v>3</v>
      </c>
      <c r="E23" s="8">
        <v>0.1</v>
      </c>
      <c r="G23" s="4" t="s">
        <v>23</v>
      </c>
      <c r="H23" s="4">
        <f>H24</f>
        <v>3.165</v>
      </c>
      <c r="J23" s="1"/>
      <c r="K23" s="1"/>
    </row>
    <row r="24" spans="1:13" x14ac:dyDescent="0.35">
      <c r="D24" s="1"/>
      <c r="E24" s="1"/>
      <c r="G24" s="5" t="s">
        <v>22</v>
      </c>
      <c r="H24" s="5">
        <f>(B7*E23+B23*E27)</f>
        <v>3.165</v>
      </c>
    </row>
    <row r="25" spans="1:13" x14ac:dyDescent="0.35">
      <c r="G25" s="6"/>
      <c r="H25" s="6"/>
    </row>
    <row r="26" spans="1:13" x14ac:dyDescent="0.35">
      <c r="D26" s="26" t="s">
        <v>40</v>
      </c>
      <c r="E26" s="26"/>
      <c r="G26" s="7"/>
      <c r="H26" s="7"/>
    </row>
    <row r="27" spans="1:13" x14ac:dyDescent="0.35">
      <c r="D27" s="8" t="s">
        <v>3</v>
      </c>
      <c r="E27" s="8">
        <v>0.1</v>
      </c>
    </row>
    <row r="28" spans="1:13" x14ac:dyDescent="0.35">
      <c r="D28" s="1"/>
      <c r="E28" s="1"/>
    </row>
  </sheetData>
  <mergeCells count="16">
    <mergeCell ref="O7:Q7"/>
    <mergeCell ref="D10:E10"/>
    <mergeCell ref="D18:E18"/>
    <mergeCell ref="J18:K18"/>
    <mergeCell ref="G1:H1"/>
    <mergeCell ref="D2:E2"/>
    <mergeCell ref="G2:H2"/>
    <mergeCell ref="M2:N2"/>
    <mergeCell ref="G3:H3"/>
    <mergeCell ref="J3:K3"/>
    <mergeCell ref="D22:E22"/>
    <mergeCell ref="D26:E26"/>
    <mergeCell ref="J12:K12"/>
    <mergeCell ref="J21:K21"/>
    <mergeCell ref="D6:E6"/>
    <mergeCell ref="J7:K7"/>
  </mergeCells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Y28"/>
  <sheetViews>
    <sheetView tabSelected="1" zoomScale="62" zoomScaleNormal="62" workbookViewId="0">
      <selection activeCell="M17" sqref="M17"/>
    </sheetView>
  </sheetViews>
  <sheetFormatPr baseColWidth="10" defaultRowHeight="21" x14ac:dyDescent="0.35"/>
  <cols>
    <col min="1" max="1" width="2.7265625" bestFit="1" customWidth="1"/>
    <col min="2" max="2" width="8.7265625" customWidth="1"/>
    <col min="4" max="4" width="2.6328125" bestFit="1" customWidth="1"/>
    <col min="5" max="5" width="8.54296875" customWidth="1"/>
    <col min="7" max="7" width="5.81640625" bestFit="1" customWidth="1"/>
    <col min="8" max="8" width="8.54296875" customWidth="1"/>
    <col min="10" max="10" width="2.7265625" bestFit="1" customWidth="1"/>
    <col min="11" max="11" width="7.7265625" customWidth="1"/>
    <col min="13" max="13" width="5.81640625" bestFit="1" customWidth="1"/>
    <col min="14" max="14" width="9.36328125" customWidth="1"/>
    <col min="15" max="15" width="12.81640625" bestFit="1" customWidth="1"/>
  </cols>
  <sheetData>
    <row r="1" spans="1:25" x14ac:dyDescent="0.35">
      <c r="G1" s="29" t="s">
        <v>5</v>
      </c>
      <c r="H1" s="29"/>
      <c r="W1" s="13" t="s">
        <v>26</v>
      </c>
    </row>
    <row r="2" spans="1:25" x14ac:dyDescent="0.35">
      <c r="D2" s="26" t="s">
        <v>6</v>
      </c>
      <c r="E2" s="26"/>
      <c r="G2" s="29" t="s">
        <v>20</v>
      </c>
      <c r="H2" s="29"/>
      <c r="M2" s="29" t="s">
        <v>25</v>
      </c>
      <c r="N2" s="29"/>
      <c r="P2" t="s">
        <v>14</v>
      </c>
      <c r="W2" t="s">
        <v>13</v>
      </c>
      <c r="X2" t="s">
        <v>12</v>
      </c>
      <c r="Y2" t="s">
        <v>27</v>
      </c>
    </row>
    <row r="3" spans="1:25" x14ac:dyDescent="0.35">
      <c r="D3" s="8" t="s">
        <v>3</v>
      </c>
      <c r="E3" s="8">
        <v>0.10282013326017109</v>
      </c>
      <c r="G3" s="26"/>
      <c r="H3" s="26"/>
      <c r="J3" s="26" t="s">
        <v>6</v>
      </c>
      <c r="K3" s="26"/>
      <c r="P3" t="s">
        <v>24</v>
      </c>
      <c r="W3">
        <v>0</v>
      </c>
      <c r="X3">
        <v>0</v>
      </c>
      <c r="Y3">
        <v>0</v>
      </c>
    </row>
    <row r="4" spans="1:25" x14ac:dyDescent="0.35">
      <c r="D4" s="1" t="s">
        <v>4</v>
      </c>
      <c r="E4" s="1">
        <f>E3+(B7*H4)*Q14</f>
        <v>0.10709930415099714</v>
      </c>
      <c r="G4" s="2" t="s">
        <v>0</v>
      </c>
      <c r="H4" s="3">
        <f>(H5*(1-H5))*(N7*K4)</f>
        <v>4.2791708908260489E-3</v>
      </c>
      <c r="J4" s="8" t="s">
        <v>3</v>
      </c>
      <c r="K4" s="8">
        <v>0.16264651802523283</v>
      </c>
      <c r="P4" t="s">
        <v>17</v>
      </c>
      <c r="W4">
        <v>0</v>
      </c>
      <c r="X4">
        <v>1</v>
      </c>
      <c r="Y4">
        <v>1</v>
      </c>
    </row>
    <row r="5" spans="1:25" x14ac:dyDescent="0.35">
      <c r="G5" s="4" t="s">
        <v>23</v>
      </c>
      <c r="H5" s="4">
        <f>1/(1+EXP(-H6))</f>
        <v>0.55122966076186952</v>
      </c>
      <c r="J5" s="1" t="s">
        <v>4</v>
      </c>
      <c r="K5" s="1">
        <f>K4+(N7*H5)*Q14</f>
        <v>0.22127257897334093</v>
      </c>
      <c r="O5" s="11" t="s">
        <v>21</v>
      </c>
      <c r="W5">
        <v>1</v>
      </c>
      <c r="X5">
        <v>0</v>
      </c>
      <c r="Y5">
        <v>1</v>
      </c>
    </row>
    <row r="6" spans="1:25" x14ac:dyDescent="0.35">
      <c r="D6" s="26" t="s">
        <v>7</v>
      </c>
      <c r="E6" s="26"/>
      <c r="G6" s="5" t="s">
        <v>22</v>
      </c>
      <c r="H6" s="5">
        <f>(B7*E3+B23*E7)+H7</f>
        <v>0.20564026652034217</v>
      </c>
      <c r="O6" s="12" t="s">
        <v>18</v>
      </c>
      <c r="W6">
        <v>1</v>
      </c>
      <c r="X6">
        <v>1</v>
      </c>
      <c r="Y6">
        <v>1</v>
      </c>
    </row>
    <row r="7" spans="1:25" x14ac:dyDescent="0.35">
      <c r="A7" s="1" t="s">
        <v>13</v>
      </c>
      <c r="B7" s="1">
        <v>1</v>
      </c>
      <c r="D7" s="8" t="s">
        <v>3</v>
      </c>
      <c r="E7" s="8">
        <v>0.10282013326017109</v>
      </c>
      <c r="G7" s="6" t="s">
        <v>1</v>
      </c>
      <c r="H7" s="6">
        <v>0</v>
      </c>
      <c r="J7" s="27"/>
      <c r="K7" s="27"/>
      <c r="M7" s="2" t="s">
        <v>0</v>
      </c>
      <c r="N7" s="3">
        <f>(N8*(1-N8))*(O8-N8)</f>
        <v>0.10635505510911626</v>
      </c>
      <c r="O7" s="9" t="s">
        <v>15</v>
      </c>
      <c r="P7" s="30" t="s">
        <v>28</v>
      </c>
      <c r="Q7" s="31"/>
      <c r="R7" s="31"/>
    </row>
    <row r="8" spans="1:25" x14ac:dyDescent="0.35">
      <c r="D8" s="1" t="s">
        <v>4</v>
      </c>
      <c r="E8" s="1">
        <f>E7+(B23*H4)*Q14</f>
        <v>0.10709930415099714</v>
      </c>
      <c r="G8" s="7" t="s">
        <v>2</v>
      </c>
      <c r="H8" s="7">
        <f>H7-(Q14*H4)</f>
        <v>-4.2791708908260489E-3</v>
      </c>
      <c r="M8" s="4" t="s">
        <v>23</v>
      </c>
      <c r="N8" s="4">
        <f>1/(1+EXP(-N9))</f>
        <v>0.5668392272280468</v>
      </c>
      <c r="O8" s="9">
        <v>1</v>
      </c>
      <c r="P8">
        <f>1/2*(O8-N8)^2</f>
        <v>9.3814127534197836E-2</v>
      </c>
    </row>
    <row r="9" spans="1:25" x14ac:dyDescent="0.35">
      <c r="G9" s="14" t="s">
        <v>41</v>
      </c>
      <c r="M9" s="5" t="s">
        <v>22</v>
      </c>
      <c r="N9" s="5">
        <f>(H5*K4+H14*K13+H23*K22)+N10</f>
        <v>0.26896675486544519</v>
      </c>
    </row>
    <row r="10" spans="1:25" x14ac:dyDescent="0.35">
      <c r="D10" s="26" t="s">
        <v>8</v>
      </c>
      <c r="E10" s="26"/>
      <c r="M10" s="6" t="s">
        <v>1</v>
      </c>
      <c r="N10" s="6">
        <v>0</v>
      </c>
    </row>
    <row r="11" spans="1:25" x14ac:dyDescent="0.35">
      <c r="D11" s="8" t="s">
        <v>3</v>
      </c>
      <c r="E11" s="8">
        <v>0.10282013326017109</v>
      </c>
      <c r="M11" s="7" t="s">
        <v>2</v>
      </c>
      <c r="N11" s="7">
        <f>N10-(Q14*N7)</f>
        <v>-0.10635505510911626</v>
      </c>
    </row>
    <row r="12" spans="1:25" x14ac:dyDescent="0.35">
      <c r="D12" s="1" t="s">
        <v>4</v>
      </c>
      <c r="E12" s="1">
        <f>E11+(B7*H13)*Q14</f>
        <v>0.10709930415099714</v>
      </c>
      <c r="M12" s="14" t="s">
        <v>44</v>
      </c>
    </row>
    <row r="13" spans="1:25" x14ac:dyDescent="0.35">
      <c r="G13" s="2" t="s">
        <v>0</v>
      </c>
      <c r="H13" s="3">
        <f>H14*(1-H14)*(N7*K13)</f>
        <v>4.2791708908260489E-3</v>
      </c>
      <c r="J13" s="8" t="s">
        <v>3</v>
      </c>
      <c r="K13" s="8">
        <v>0.16264651802523283</v>
      </c>
      <c r="P13" t="s">
        <v>19</v>
      </c>
    </row>
    <row r="14" spans="1:25" x14ac:dyDescent="0.35">
      <c r="G14" s="4" t="s">
        <v>23</v>
      </c>
      <c r="H14" s="4">
        <f>1/(1+EXP(-H15))</f>
        <v>0.55122966076186952</v>
      </c>
      <c r="J14" s="1" t="s">
        <v>4</v>
      </c>
      <c r="K14" s="1">
        <f>K13+(N7*H14)*Q14</f>
        <v>0.22127257897334093</v>
      </c>
      <c r="P14" s="10" t="s">
        <v>16</v>
      </c>
      <c r="Q14">
        <v>1</v>
      </c>
    </row>
    <row r="15" spans="1:25" x14ac:dyDescent="0.35">
      <c r="G15" s="5" t="s">
        <v>22</v>
      </c>
      <c r="H15" s="5">
        <f>(B7*E11+B23*E19)+H16</f>
        <v>0.20564026652034217</v>
      </c>
    </row>
    <row r="16" spans="1:25" x14ac:dyDescent="0.35">
      <c r="G16" s="6" t="s">
        <v>1</v>
      </c>
      <c r="H16" s="6">
        <v>0</v>
      </c>
    </row>
    <row r="17" spans="1:18" x14ac:dyDescent="0.35">
      <c r="G17" s="7" t="s">
        <v>2</v>
      </c>
      <c r="H17" s="7">
        <f>H16-(Q14*H13)</f>
        <v>-4.2791708908260489E-3</v>
      </c>
    </row>
    <row r="18" spans="1:18" x14ac:dyDescent="0.35">
      <c r="D18" s="26" t="s">
        <v>9</v>
      </c>
      <c r="E18" s="26"/>
      <c r="G18" s="14" t="s">
        <v>42</v>
      </c>
      <c r="J18" s="27"/>
      <c r="K18" s="27"/>
    </row>
    <row r="19" spans="1:18" x14ac:dyDescent="0.35">
      <c r="D19" s="8" t="s">
        <v>3</v>
      </c>
      <c r="E19" s="8">
        <v>0.10282013326017109</v>
      </c>
      <c r="M19" s="10"/>
    </row>
    <row r="20" spans="1:18" ht="21.75" thickBot="1" x14ac:dyDescent="0.4">
      <c r="D20" s="1" t="s">
        <v>4</v>
      </c>
      <c r="E20" s="1">
        <f>E19+(B23*H13)*Q14</f>
        <v>0.10709930415099714</v>
      </c>
    </row>
    <row r="21" spans="1:18" ht="21.75" thickBot="1" x14ac:dyDescent="0.4">
      <c r="P21" s="19" t="s">
        <v>29</v>
      </c>
      <c r="Q21" s="21" t="s">
        <v>30</v>
      </c>
      <c r="R21" s="20" t="s">
        <v>31</v>
      </c>
    </row>
    <row r="22" spans="1:18" x14ac:dyDescent="0.35">
      <c r="D22" s="24" t="s">
        <v>10</v>
      </c>
      <c r="E22" s="25"/>
      <c r="G22" s="2" t="s">
        <v>0</v>
      </c>
      <c r="H22" s="3">
        <f>H23*(1-H23)*(N7*K22)</f>
        <v>4.2791708908260489E-3</v>
      </c>
      <c r="J22" s="8" t="s">
        <v>3</v>
      </c>
      <c r="K22" s="8">
        <v>0.16264651802523283</v>
      </c>
      <c r="P22" s="15">
        <v>0</v>
      </c>
      <c r="Q22" s="22">
        <v>1</v>
      </c>
      <c r="R22" s="16">
        <v>0</v>
      </c>
    </row>
    <row r="23" spans="1:18" x14ac:dyDescent="0.35">
      <c r="A23" s="1" t="s">
        <v>12</v>
      </c>
      <c r="B23" s="1">
        <v>1</v>
      </c>
      <c r="D23" s="8" t="s">
        <v>3</v>
      </c>
      <c r="E23" s="8">
        <v>0.10282013326017109</v>
      </c>
      <c r="G23" s="4" t="s">
        <v>23</v>
      </c>
      <c r="H23" s="4">
        <f>1/(1+EXP(-H24))</f>
        <v>0.55122966076186952</v>
      </c>
      <c r="J23" s="1" t="s">
        <v>4</v>
      </c>
      <c r="K23" s="1">
        <f>K22+(N7*H23)*Q14</f>
        <v>0.22127257897334093</v>
      </c>
      <c r="P23" s="15">
        <v>1</v>
      </c>
      <c r="Q23" s="22">
        <v>0</v>
      </c>
      <c r="R23" s="16">
        <v>0</v>
      </c>
    </row>
    <row r="24" spans="1:18" x14ac:dyDescent="0.35">
      <c r="D24" s="1" t="s">
        <v>4</v>
      </c>
      <c r="E24" s="1">
        <f>E23+(B7*H22)*Q14</f>
        <v>0.10709930415099714</v>
      </c>
      <c r="G24" s="5" t="s">
        <v>22</v>
      </c>
      <c r="H24" s="5">
        <f>(B7*E23+B23*E27)+H25</f>
        <v>0.20564026652034217</v>
      </c>
      <c r="P24" s="15">
        <v>0</v>
      </c>
      <c r="Q24" s="22">
        <v>0</v>
      </c>
      <c r="R24" s="16">
        <v>0</v>
      </c>
    </row>
    <row r="25" spans="1:18" ht="21.75" thickBot="1" x14ac:dyDescent="0.4">
      <c r="G25" s="6" t="s">
        <v>1</v>
      </c>
      <c r="H25" s="6">
        <v>0</v>
      </c>
      <c r="P25" s="17">
        <v>1</v>
      </c>
      <c r="Q25" s="23">
        <v>1</v>
      </c>
      <c r="R25" s="18">
        <v>1</v>
      </c>
    </row>
    <row r="26" spans="1:18" x14ac:dyDescent="0.35">
      <c r="D26" s="26" t="s">
        <v>11</v>
      </c>
      <c r="E26" s="26"/>
      <c r="G26" s="7" t="s">
        <v>2</v>
      </c>
      <c r="H26" s="7">
        <f>H25-(Q14*H22)</f>
        <v>-4.2791708908260489E-3</v>
      </c>
    </row>
    <row r="27" spans="1:18" x14ac:dyDescent="0.35">
      <c r="D27" s="8" t="s">
        <v>3</v>
      </c>
      <c r="E27" s="8">
        <v>0.10282013326017109</v>
      </c>
      <c r="G27" s="14" t="s">
        <v>43</v>
      </c>
      <c r="N27" t="s">
        <v>45</v>
      </c>
      <c r="O27">
        <v>1</v>
      </c>
    </row>
    <row r="28" spans="1:18" x14ac:dyDescent="0.35">
      <c r="D28" s="1" t="s">
        <v>4</v>
      </c>
      <c r="E28" s="1">
        <f>E27+(B23*H22)*Q14</f>
        <v>0.10709930415099714</v>
      </c>
    </row>
  </sheetData>
  <mergeCells count="14">
    <mergeCell ref="P7:R7"/>
    <mergeCell ref="G1:H1"/>
    <mergeCell ref="G3:H3"/>
    <mergeCell ref="D2:E2"/>
    <mergeCell ref="D6:E6"/>
    <mergeCell ref="D10:E10"/>
    <mergeCell ref="G2:H2"/>
    <mergeCell ref="M2:N2"/>
    <mergeCell ref="D22:E22"/>
    <mergeCell ref="D26:E26"/>
    <mergeCell ref="J3:K3"/>
    <mergeCell ref="J7:K7"/>
    <mergeCell ref="D18:E18"/>
    <mergeCell ref="J18:K18"/>
  </mergeCell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uncionesredneuronal">
                <anchor moveWithCells="1" sizeWithCells="1">
                  <from>
                    <xdr:col>12</xdr:col>
                    <xdr:colOff>600075</xdr:colOff>
                    <xdr:row>23</xdr:row>
                    <xdr:rowOff>257175</xdr:rowOff>
                  </from>
                  <to>
                    <xdr:col>14</xdr:col>
                    <xdr:colOff>923925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iciar">
                <anchor moveWithCells="1" sizeWithCells="1">
                  <from>
                    <xdr:col>10</xdr:col>
                    <xdr:colOff>533400</xdr:colOff>
                    <xdr:row>24</xdr:row>
                    <xdr:rowOff>0</xdr:rowOff>
                  </from>
                  <to>
                    <xdr:col>12</xdr:col>
                    <xdr:colOff>371475</xdr:colOff>
                    <xdr:row>25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Forward Propagation</vt:lpstr>
      <vt:lpstr>Epoch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Almacen</dc:creator>
  <cp:lastModifiedBy>Remigio Ismael Hurtado Ortiz</cp:lastModifiedBy>
  <dcterms:created xsi:type="dcterms:W3CDTF">2016-03-17T16:54:35Z</dcterms:created>
  <dcterms:modified xsi:type="dcterms:W3CDTF">2025-02-28T04:33:33Z</dcterms:modified>
</cp:coreProperties>
</file>